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hidePivotFieldList="1"/>
  <xr:revisionPtr revIDLastSave="0" documentId="13_ncr:1_{3CA4F703-B3A6-4789-833F-FFFE1399D8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en Ejecutivo" sheetId="1" r:id="rId1"/>
    <sheet name="Inventario" sheetId="2" r:id="rId2"/>
    <sheet name="Precios por Categoría" sheetId="3" r:id="rId3"/>
    <sheet name="Benchmarking" sheetId="4" r:id="rId4"/>
    <sheet name="Posicionamiento" sheetId="5" r:id="rId5"/>
    <sheet name="Volatilidad" sheetId="7" r:id="rId6"/>
  </sheets>
  <calcPr calcId="171027"/>
  <pivotCaches>
    <pivotCache cacheId="0" r:id="rId7"/>
  </pivotCaches>
</workbook>
</file>

<file path=xl/sharedStrings.xml><?xml version="1.0" encoding="utf-8"?>
<sst xmlns="http://schemas.openxmlformats.org/spreadsheetml/2006/main" count="138" uniqueCount="84">
  <si>
    <t>Métrica</t>
  </si>
  <si>
    <t>Valor ($)</t>
  </si>
  <si>
    <t>Total Modelos</t>
  </si>
  <si>
    <t>Total Marcas</t>
  </si>
  <si>
    <t>Precio Promedio</t>
  </si>
  <si>
    <t>Precio Mediana</t>
  </si>
  <si>
    <t>Precio Mínimo</t>
  </si>
  <si>
    <t>Precio Máximo</t>
  </si>
  <si>
    <t>Desviación Estándar</t>
  </si>
  <si>
    <t>Coeficiente Variación (%)</t>
  </si>
  <si>
    <t>Fecha Generación</t>
  </si>
  <si>
    <t>Categoría</t>
  </si>
  <si>
    <t>Cantidad Modelos</t>
  </si>
  <si>
    <t>Pick up</t>
  </si>
  <si>
    <t>SUV</t>
  </si>
  <si>
    <t>Promedio</t>
  </si>
  <si>
    <t>Mínimo</t>
  </si>
  <si>
    <t>Máximo</t>
  </si>
  <si>
    <t>Marca</t>
  </si>
  <si>
    <t>Toyota</t>
  </si>
  <si>
    <t>Modelo</t>
  </si>
  <si>
    <t>Precio</t>
  </si>
  <si>
    <t>Volumen</t>
  </si>
  <si>
    <t>Entidad</t>
  </si>
  <si>
    <t>Fecha</t>
  </si>
  <si>
    <t>2025-10</t>
  </si>
  <si>
    <t>27/12/2025</t>
  </si>
  <si>
    <t>Filtros Activos:</t>
  </si>
  <si>
    <t>Categoría:</t>
  </si>
  <si>
    <t>Todas</t>
  </si>
  <si>
    <t>Marca:</t>
  </si>
  <si>
    <t>Modelo:</t>
  </si>
  <si>
    <t>Todos</t>
  </si>
  <si>
    <t>Submodelo:</t>
  </si>
  <si>
    <t>Periodo Volatilidad:</t>
  </si>
  <si>
    <t>total</t>
  </si>
  <si>
    <t>Coupé</t>
  </si>
  <si>
    <t>Sedan</t>
  </si>
  <si>
    <t>City Car</t>
  </si>
  <si>
    <t>Hatchback</t>
  </si>
  <si>
    <t>Station Wagon</t>
  </si>
  <si>
    <t>Convertible</t>
  </si>
  <si>
    <t>Minivan</t>
  </si>
  <si>
    <t>Ford</t>
  </si>
  <si>
    <t>Suzuki</t>
  </si>
  <si>
    <t>Chevrolet</t>
  </si>
  <si>
    <t>BMW</t>
  </si>
  <si>
    <t>Mazda</t>
  </si>
  <si>
    <t>Hyundai</t>
  </si>
  <si>
    <t>Kia</t>
  </si>
  <si>
    <t>Mustang</t>
  </si>
  <si>
    <t>Jimny</t>
  </si>
  <si>
    <t>Tracker</t>
  </si>
  <si>
    <t>Corolla</t>
  </si>
  <si>
    <t>Swift</t>
  </si>
  <si>
    <t>Yaris</t>
  </si>
  <si>
    <t>Serie 3</t>
  </si>
  <si>
    <t>CX-5</t>
  </si>
  <si>
    <t>RAV4</t>
  </si>
  <si>
    <t>Silverado</t>
  </si>
  <si>
    <t>Serie 3 Touring</t>
  </si>
  <si>
    <t>Mazda3</t>
  </si>
  <si>
    <t>F-150</t>
  </si>
  <si>
    <t>Onix</t>
  </si>
  <si>
    <t>Camaro</t>
  </si>
  <si>
    <t>Grand i10</t>
  </si>
  <si>
    <t>Tucson</t>
  </si>
  <si>
    <t>Morning</t>
  </si>
  <si>
    <t>Z4</t>
  </si>
  <si>
    <t>Hilux</t>
  </si>
  <si>
    <t>Sportage</t>
  </si>
  <si>
    <t>Supra</t>
  </si>
  <si>
    <t>Explorer</t>
  </si>
  <si>
    <t>MX-5</t>
  </si>
  <si>
    <t>Spin</t>
  </si>
  <si>
    <t>2025-09</t>
  </si>
  <si>
    <t>2025-12</t>
  </si>
  <si>
    <t>2025-06</t>
  </si>
  <si>
    <t>2025-11</t>
  </si>
  <si>
    <t>2025-07</t>
  </si>
  <si>
    <t>2025-08</t>
  </si>
  <si>
    <t>2024-11</t>
  </si>
  <si>
    <t>2025-05</t>
  </si>
  <si>
    <t>Suma de Variación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</si>
</sst>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Inventario!$B$1</c:f>
              <c:strCache>
                <c:ptCount val="1"/>
                <c:pt idx="0">
                  <c:v>Cantidad Modelos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Inventario!$A$2:$A$10</c:f>
              <c:strCache>
                <c:ptCount val="9"/>
                <c:pt idx="0">
                  <c:v>Coupé</c:v>
                </c:pt>
                <c:pt idx="1">
                  <c:v>SUV</c:v>
                </c:pt>
                <c:pt idx="2">
                  <c:v>Sedan</c:v>
                </c:pt>
                <c:pt idx="3">
                  <c:v>City Car</c:v>
                </c:pt>
                <c:pt idx="4">
                  <c:v>Hatchback</c:v>
                </c:pt>
                <c:pt idx="5">
                  <c:v>Pick up</c:v>
                </c:pt>
                <c:pt idx="6">
                  <c:v>Station Wagon</c:v>
                </c:pt>
                <c:pt idx="7">
                  <c:v>Convertible</c:v>
                </c:pt>
                <c:pt idx="8">
                  <c:v>Minivan</c:v>
                </c:pt>
              </c:strCache>
            </c:strRef>
          </c:cat>
          <c:val>
            <c:numRef>
              <c:f>Inventario!$B$2:$B$10</c:f>
              <c:numCache>
                <c:formatCode>General</c:formatCode>
                <c:ptCount val="9"/>
                <c:pt idx="0">
                  <c:v>7</c:v>
                </c:pt>
                <c:pt idx="1">
                  <c:v>25</c:v>
                </c:pt>
                <c:pt idx="2">
                  <c:v>10</c:v>
                </c:pt>
                <c:pt idx="3">
                  <c:v>9</c:v>
                </c:pt>
                <c:pt idx="4">
                  <c:v>7</c:v>
                </c:pt>
                <c:pt idx="5">
                  <c:v>10</c:v>
                </c:pt>
                <c:pt idx="6">
                  <c:v>1</c:v>
                </c:pt>
                <c:pt idx="7">
                  <c:v>4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D4-4829-A378-0C01742BB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2612640"/>
        <c:axId val="1362619840"/>
      </c:barChart>
      <c:catAx>
        <c:axId val="136261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62619840"/>
        <c:crosses val="autoZero"/>
        <c:auto val="1"/>
        <c:lblAlgn val="ctr"/>
        <c:lblOffset val="100"/>
        <c:noMultiLvlLbl val="0"/>
      </c:catAx>
      <c:valAx>
        <c:axId val="136261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62612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Dispersión</a:t>
            </a:r>
            <a:r>
              <a:rPr lang="es-CL" baseline="0"/>
              <a:t> de precios por segmento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'Precios por Categoría'!$B$1</c:f>
              <c:strCache>
                <c:ptCount val="1"/>
                <c:pt idx="0">
                  <c:v>Promedio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'Precios por Categoría'!$A$2:$A$10</c:f>
              <c:strCache>
                <c:ptCount val="9"/>
                <c:pt idx="0">
                  <c:v>Coupé</c:v>
                </c:pt>
                <c:pt idx="1">
                  <c:v>SUV</c:v>
                </c:pt>
                <c:pt idx="2">
                  <c:v>Sedan</c:v>
                </c:pt>
                <c:pt idx="3">
                  <c:v>City Car</c:v>
                </c:pt>
                <c:pt idx="4">
                  <c:v>Hatchback</c:v>
                </c:pt>
                <c:pt idx="5">
                  <c:v>Pick up</c:v>
                </c:pt>
                <c:pt idx="6">
                  <c:v>Station Wagon</c:v>
                </c:pt>
                <c:pt idx="7">
                  <c:v>Convertible</c:v>
                </c:pt>
                <c:pt idx="8">
                  <c:v>Minivan</c:v>
                </c:pt>
              </c:strCache>
            </c:strRef>
          </c:cat>
          <c:val>
            <c:numRef>
              <c:f>'Precios por Categoría'!$B$2:$B$10</c:f>
              <c:numCache>
                <c:formatCode>"$"#,##0</c:formatCode>
                <c:ptCount val="9"/>
                <c:pt idx="0">
                  <c:v>51108571.428571425</c:v>
                </c:pt>
                <c:pt idx="1">
                  <c:v>26838800</c:v>
                </c:pt>
                <c:pt idx="2">
                  <c:v>29411000</c:v>
                </c:pt>
                <c:pt idx="3">
                  <c:v>10705555.555555556</c:v>
                </c:pt>
                <c:pt idx="4">
                  <c:v>12814285.714285715</c:v>
                </c:pt>
                <c:pt idx="5">
                  <c:v>41576000</c:v>
                </c:pt>
                <c:pt idx="6">
                  <c:v>55560000</c:v>
                </c:pt>
                <c:pt idx="7">
                  <c:v>50355000</c:v>
                </c:pt>
                <c:pt idx="8">
                  <c:v>14745000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A1-4404-A47C-8DDA8D3F65FD}"/>
            </c:ext>
          </c:extLst>
        </c:ser>
        <c:ser>
          <c:idx val="1"/>
          <c:order val="1"/>
          <c:tx>
            <c:strRef>
              <c:f>'Precios por Categoría'!$C$1</c:f>
              <c:strCache>
                <c:ptCount val="1"/>
                <c:pt idx="0">
                  <c:v>Mínimo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'Precios por Categoría'!$A$2:$A$10</c:f>
              <c:strCache>
                <c:ptCount val="9"/>
                <c:pt idx="0">
                  <c:v>Coupé</c:v>
                </c:pt>
                <c:pt idx="1">
                  <c:v>SUV</c:v>
                </c:pt>
                <c:pt idx="2">
                  <c:v>Sedan</c:v>
                </c:pt>
                <c:pt idx="3">
                  <c:v>City Car</c:v>
                </c:pt>
                <c:pt idx="4">
                  <c:v>Hatchback</c:v>
                </c:pt>
                <c:pt idx="5">
                  <c:v>Pick up</c:v>
                </c:pt>
                <c:pt idx="6">
                  <c:v>Station Wagon</c:v>
                </c:pt>
                <c:pt idx="7">
                  <c:v>Convertible</c:v>
                </c:pt>
                <c:pt idx="8">
                  <c:v>Minivan</c:v>
                </c:pt>
              </c:strCache>
            </c:strRef>
          </c:cat>
          <c:val>
            <c:numRef>
              <c:f>'Precios por Categoría'!$C$2:$C$10</c:f>
              <c:numCache>
                <c:formatCode>"$"#,##0</c:formatCode>
                <c:ptCount val="9"/>
                <c:pt idx="0">
                  <c:v>43810000</c:v>
                </c:pt>
                <c:pt idx="1">
                  <c:v>16420000</c:v>
                </c:pt>
                <c:pt idx="2">
                  <c:v>17870000</c:v>
                </c:pt>
                <c:pt idx="3">
                  <c:v>9170000</c:v>
                </c:pt>
                <c:pt idx="4">
                  <c:v>11800000</c:v>
                </c:pt>
                <c:pt idx="5">
                  <c:v>27860000</c:v>
                </c:pt>
                <c:pt idx="6">
                  <c:v>55560000</c:v>
                </c:pt>
                <c:pt idx="7">
                  <c:v>31810000</c:v>
                </c:pt>
                <c:pt idx="8">
                  <c:v>14440000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A1-4404-A47C-8DDA8D3F65FD}"/>
            </c:ext>
          </c:extLst>
        </c:ser>
        <c:ser>
          <c:idx val="2"/>
          <c:order val="2"/>
          <c:tx>
            <c:strRef>
              <c:f>'Precios por Categoría'!$D$1</c:f>
              <c:strCache>
                <c:ptCount val="1"/>
                <c:pt idx="0">
                  <c:v>Máximo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'Precios por Categoría'!$A$2:$A$10</c:f>
              <c:strCache>
                <c:ptCount val="9"/>
                <c:pt idx="0">
                  <c:v>Coupé</c:v>
                </c:pt>
                <c:pt idx="1">
                  <c:v>SUV</c:v>
                </c:pt>
                <c:pt idx="2">
                  <c:v>Sedan</c:v>
                </c:pt>
                <c:pt idx="3">
                  <c:v>City Car</c:v>
                </c:pt>
                <c:pt idx="4">
                  <c:v>Hatchback</c:v>
                </c:pt>
                <c:pt idx="5">
                  <c:v>Pick up</c:v>
                </c:pt>
                <c:pt idx="6">
                  <c:v>Station Wagon</c:v>
                </c:pt>
                <c:pt idx="7">
                  <c:v>Convertible</c:v>
                </c:pt>
                <c:pt idx="8">
                  <c:v>Minivan</c:v>
                </c:pt>
              </c:strCache>
            </c:strRef>
          </c:cat>
          <c:val>
            <c:numRef>
              <c:f>'Precios por Categoría'!$D$2:$D$10</c:f>
              <c:numCache>
                <c:formatCode>"$"#,##0</c:formatCode>
                <c:ptCount val="9"/>
                <c:pt idx="0">
                  <c:v>65790000</c:v>
                </c:pt>
                <c:pt idx="1">
                  <c:v>48500000</c:v>
                </c:pt>
                <c:pt idx="2">
                  <c:v>52370000</c:v>
                </c:pt>
                <c:pt idx="3">
                  <c:v>11470000</c:v>
                </c:pt>
                <c:pt idx="4">
                  <c:v>13650000</c:v>
                </c:pt>
                <c:pt idx="5">
                  <c:v>54310000</c:v>
                </c:pt>
                <c:pt idx="6">
                  <c:v>55560000</c:v>
                </c:pt>
                <c:pt idx="7">
                  <c:v>69390000</c:v>
                </c:pt>
                <c:pt idx="8">
                  <c:v>15050000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A1-4404-A47C-8DDA8D3F6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9218064"/>
        <c:axId val="1799224304"/>
      </c:barChart>
      <c:catAx>
        <c:axId val="179921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99224304"/>
        <c:crosses val="autoZero"/>
        <c:auto val="1"/>
        <c:lblAlgn val="ctr"/>
        <c:lblOffset val="100"/>
        <c:noMultiLvlLbl val="0"/>
      </c:catAx>
      <c:valAx>
        <c:axId val="179922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9921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Benchmarking!$B$1</c:f>
              <c:strCache>
                <c:ptCount val="1"/>
                <c:pt idx="0">
                  <c:v>Precio Promedio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Benchmarking!$A$2:$A$9</c:f>
              <c:strCache>
                <c:ptCount val="8"/>
                <c:pt idx="0">
                  <c:v>Ford</c:v>
                </c:pt>
                <c:pt idx="1">
                  <c:v>Suzuki</c:v>
                </c:pt>
                <c:pt idx="2">
                  <c:v>Chevrolet</c:v>
                </c:pt>
                <c:pt idx="3">
                  <c:v>Toyota</c:v>
                </c:pt>
                <c:pt idx="4">
                  <c:v>BMW</c:v>
                </c:pt>
                <c:pt idx="5">
                  <c:v>Mazda</c:v>
                </c:pt>
                <c:pt idx="6">
                  <c:v>Hyundai</c:v>
                </c:pt>
                <c:pt idx="7">
                  <c:v>Kia</c:v>
                </c:pt>
              </c:strCache>
            </c:strRef>
          </c:cat>
          <c:val>
            <c:numRef>
              <c:f>Benchmarking!$B$2:$B$9</c:f>
              <c:numCache>
                <c:formatCode>"$"#,##0</c:formatCode>
                <c:ptCount val="8"/>
                <c:pt idx="0">
                  <c:v>48512500</c:v>
                </c:pt>
                <c:pt idx="1">
                  <c:v>13630000</c:v>
                </c:pt>
                <c:pt idx="2">
                  <c:v>26989333.333333332</c:v>
                </c:pt>
                <c:pt idx="3">
                  <c:v>28106470.588235293</c:v>
                </c:pt>
                <c:pt idx="4">
                  <c:v>57373333.333333336</c:v>
                </c:pt>
                <c:pt idx="5">
                  <c:v>27348888.888888888</c:v>
                </c:pt>
                <c:pt idx="6">
                  <c:v>18588571.428571429</c:v>
                </c:pt>
                <c:pt idx="7">
                  <c:v>20743333.333333332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AD-419E-9B78-9A1395DC5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9226224"/>
        <c:axId val="1799221424"/>
      </c:barChart>
      <c:catAx>
        <c:axId val="179922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99221424"/>
        <c:crosses val="autoZero"/>
        <c:auto val="1"/>
        <c:lblAlgn val="ctr"/>
        <c:lblOffset val="100"/>
        <c:noMultiLvlLbl val="0"/>
      </c:catAx>
      <c:valAx>
        <c:axId val="179922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99226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Precio-Volumen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Posicionamiento!$C$1</c:f>
              <c:strCache>
                <c:ptCount val="1"/>
                <c:pt idx="0">
                  <c:v>Volumen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Posicionamiento!$B$2:$B$101</c:f>
              <c:numCache>
                <c:formatCode>"$"#,##0</c:formatCode>
                <c:ptCount val="100"/>
                <c:pt idx="0">
                  <c:v>44780000</c:v>
                </c:pt>
                <c:pt idx="1">
                  <c:v>17170000</c:v>
                </c:pt>
                <c:pt idx="2">
                  <c:v>18246666.666666668</c:v>
                </c:pt>
                <c:pt idx="3">
                  <c:v>19287500</c:v>
                </c:pt>
                <c:pt idx="4">
                  <c:v>10975000</c:v>
                </c:pt>
                <c:pt idx="5">
                  <c:v>12400000</c:v>
                </c:pt>
                <c:pt idx="6">
                  <c:v>51350000</c:v>
                </c:pt>
                <c:pt idx="7">
                  <c:v>29110000</c:v>
                </c:pt>
                <c:pt idx="8">
                  <c:v>26892500</c:v>
                </c:pt>
                <c:pt idx="9">
                  <c:v>43343333.333333336</c:v>
                </c:pt>
                <c:pt idx="10">
                  <c:v>55560000</c:v>
                </c:pt>
                <c:pt idx="11">
                  <c:v>20970000</c:v>
                </c:pt>
                <c:pt idx="12">
                  <c:v>53320000</c:v>
                </c:pt>
                <c:pt idx="13">
                  <c:v>13125000</c:v>
                </c:pt>
                <c:pt idx="14">
                  <c:v>46026666.666666664</c:v>
                </c:pt>
                <c:pt idx="15">
                  <c:v>10880000</c:v>
                </c:pt>
                <c:pt idx="16">
                  <c:v>24370000</c:v>
                </c:pt>
                <c:pt idx="17">
                  <c:v>9905000</c:v>
                </c:pt>
                <c:pt idx="18">
                  <c:v>67315000</c:v>
                </c:pt>
                <c:pt idx="19">
                  <c:v>31442500</c:v>
                </c:pt>
                <c:pt idx="20">
                  <c:v>26162500</c:v>
                </c:pt>
                <c:pt idx="21">
                  <c:v>65060000</c:v>
                </c:pt>
                <c:pt idx="22">
                  <c:v>46193333.333333336</c:v>
                </c:pt>
                <c:pt idx="23">
                  <c:v>33395000</c:v>
                </c:pt>
                <c:pt idx="24">
                  <c:v>14745000</c:v>
                </c:pt>
              </c:numCache>
            </c:numRef>
          </c:xVal>
          <c:yVal>
            <c:numRef>
              <c:f>Posicionamiento!$C$2:$C$101</c:f>
              <c:numCache>
                <c:formatCode>General</c:formatCode>
                <c:ptCount val="100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1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3</c:v>
                </c:pt>
                <c:pt idx="15">
                  <c:v>3</c:v>
                </c:pt>
                <c:pt idx="16">
                  <c:v>4</c:v>
                </c:pt>
                <c:pt idx="17">
                  <c:v>2</c:v>
                </c:pt>
                <c:pt idx="18">
                  <c:v>2</c:v>
                </c:pt>
                <c:pt idx="19">
                  <c:v>4</c:v>
                </c:pt>
                <c:pt idx="20">
                  <c:v>4</c:v>
                </c:pt>
                <c:pt idx="21">
                  <c:v>2</c:v>
                </c:pt>
                <c:pt idx="22">
                  <c:v>3</c:v>
                </c:pt>
                <c:pt idx="23">
                  <c:v>2</c:v>
                </c:pt>
                <c:pt idx="24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1B-4587-847C-2D57C3BE6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9939727"/>
        <c:axId val="1199941647"/>
      </c:scatterChart>
      <c:valAx>
        <c:axId val="1199939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99941647"/>
        <c:crosses val="autoZero"/>
        <c:crossBetween val="midCat"/>
      </c:valAx>
      <c:valAx>
        <c:axId val="119994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99939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[dashboard_template.xlsx]Volatilidad!TablaDinámica13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Volatilidad!$C$3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Volatilidad!$A$4:$B$28</c:f>
              <c:multiLvlStrCache>
                <c:ptCount val="25"/>
                <c:lvl>
                  <c:pt idx="0">
                    <c:v>Chevrolet</c:v>
                  </c:pt>
                  <c:pt idx="1">
                    <c:v>Chevrolet</c:v>
                  </c:pt>
                  <c:pt idx="2">
                    <c:v>Toyota</c:v>
                  </c:pt>
                  <c:pt idx="3">
                    <c:v>Ford</c:v>
                  </c:pt>
                  <c:pt idx="4">
                    <c:v>Mazda</c:v>
                  </c:pt>
                  <c:pt idx="5">
                    <c:v>Hyundai</c:v>
                  </c:pt>
                  <c:pt idx="6">
                    <c:v>Suzuki</c:v>
                  </c:pt>
                  <c:pt idx="7">
                    <c:v>Toyota</c:v>
                  </c:pt>
                  <c:pt idx="8">
                    <c:v>Chevrolet</c:v>
                  </c:pt>
                  <c:pt idx="9">
                    <c:v>Ford</c:v>
                  </c:pt>
                  <c:pt idx="10">
                    <c:v>Hyundai</c:v>
                  </c:pt>
                  <c:pt idx="11">
                    <c:v>Mazda</c:v>
                  </c:pt>
                  <c:pt idx="12">
                    <c:v>Toyota</c:v>
                  </c:pt>
                  <c:pt idx="13">
                    <c:v>BMW</c:v>
                  </c:pt>
                  <c:pt idx="14">
                    <c:v>Chevrolet</c:v>
                  </c:pt>
                  <c:pt idx="15">
                    <c:v>Ford</c:v>
                  </c:pt>
                  <c:pt idx="16">
                    <c:v>Hyundai</c:v>
                  </c:pt>
                  <c:pt idx="17">
                    <c:v>Kia</c:v>
                  </c:pt>
                  <c:pt idx="18">
                    <c:v>Toyota</c:v>
                  </c:pt>
                  <c:pt idx="19">
                    <c:v>BMW</c:v>
                  </c:pt>
                  <c:pt idx="20">
                    <c:v>Chevrolet</c:v>
                  </c:pt>
                  <c:pt idx="21">
                    <c:v>Ford</c:v>
                  </c:pt>
                  <c:pt idx="22">
                    <c:v>Mazda</c:v>
                  </c:pt>
                  <c:pt idx="23">
                    <c:v>Suzuki</c:v>
                  </c:pt>
                  <c:pt idx="24">
                    <c:v>Toyota</c:v>
                  </c:pt>
                </c:lvl>
                <c:lvl>
                  <c:pt idx="0">
                    <c:v>2024-11</c:v>
                  </c:pt>
                  <c:pt idx="1">
                    <c:v>2025-05</c:v>
                  </c:pt>
                  <c:pt idx="2">
                    <c:v>2025-06</c:v>
                  </c:pt>
                  <c:pt idx="3">
                    <c:v>2025-07</c:v>
                  </c:pt>
                  <c:pt idx="4">
                    <c:v>2025-08</c:v>
                  </c:pt>
                  <c:pt idx="5">
                    <c:v>2025-09</c:v>
                  </c:pt>
                  <c:pt idx="8">
                    <c:v>2025-10</c:v>
                  </c:pt>
                  <c:pt idx="13">
                    <c:v>2025-11</c:v>
                  </c:pt>
                  <c:pt idx="19">
                    <c:v>2025-12</c:v>
                  </c:pt>
                </c:lvl>
              </c:multiLvlStrCache>
            </c:multiLvlStrRef>
          </c:cat>
          <c:val>
            <c:numRef>
              <c:f>Volatilidad!$C$4:$C$28</c:f>
              <c:numCache>
                <c:formatCode>0</c:formatCode>
                <c:ptCount val="25"/>
                <c:pt idx="0">
                  <c:v>-5.3715967623252387</c:v>
                </c:pt>
                <c:pt idx="1">
                  <c:v>-1.2313494448590849</c:v>
                </c:pt>
                <c:pt idx="2">
                  <c:v>15.972720746590094</c:v>
                </c:pt>
                <c:pt idx="3">
                  <c:v>11.957525392428439</c:v>
                </c:pt>
                <c:pt idx="4">
                  <c:v>-1.4266755142667553</c:v>
                </c:pt>
                <c:pt idx="5">
                  <c:v>0.62761506276150625</c:v>
                </c:pt>
                <c:pt idx="6">
                  <c:v>10.90133982947625</c:v>
                </c:pt>
                <c:pt idx="7">
                  <c:v>3.5107587768969424</c:v>
                </c:pt>
                <c:pt idx="8">
                  <c:v>6.1430793157076202</c:v>
                </c:pt>
                <c:pt idx="9">
                  <c:v>-3.5876288659793816</c:v>
                </c:pt>
                <c:pt idx="10">
                  <c:v>-1.8298261665141813</c:v>
                </c:pt>
                <c:pt idx="11">
                  <c:v>9.9654196793461178</c:v>
                </c:pt>
                <c:pt idx="12">
                  <c:v>-0.5293604742924225</c:v>
                </c:pt>
                <c:pt idx="13">
                  <c:v>4.1737481022807259</c:v>
                </c:pt>
                <c:pt idx="14">
                  <c:v>1.8047401609045444</c:v>
                </c:pt>
                <c:pt idx="15">
                  <c:v>4.6290916134030597</c:v>
                </c:pt>
                <c:pt idx="16">
                  <c:v>4.1379310344827589</c:v>
                </c:pt>
                <c:pt idx="17">
                  <c:v>4.5747422680412324</c:v>
                </c:pt>
                <c:pt idx="18">
                  <c:v>-1.5810260764322708</c:v>
                </c:pt>
                <c:pt idx="19">
                  <c:v>-3.8953599388963145</c:v>
                </c:pt>
                <c:pt idx="20">
                  <c:v>-3.3215613484671778</c:v>
                </c:pt>
                <c:pt idx="21">
                  <c:v>-1.85179947519943</c:v>
                </c:pt>
                <c:pt idx="22">
                  <c:v>3.1073879642411617</c:v>
                </c:pt>
                <c:pt idx="23">
                  <c:v>-5.0444721732527524</c:v>
                </c:pt>
                <c:pt idx="24">
                  <c:v>7.9016977318416011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F6-4DBA-A0FC-A64DEC596E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50538576"/>
        <c:axId val="1150545776"/>
      </c:barChart>
      <c:catAx>
        <c:axId val="1150538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50545776"/>
        <c:crosses val="autoZero"/>
        <c:auto val="1"/>
        <c:lblAlgn val="ctr"/>
        <c:lblOffset val="100"/>
        <c:noMultiLvlLbl val="0"/>
      </c:catAx>
      <c:valAx>
        <c:axId val="11505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505385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14286</xdr:colOff>
      <xdr:row>1</xdr:row>
      <xdr:rowOff>176212</xdr:rowOff>
    </xdr:from>
    <xdr:to>
      <xdr:col>16</xdr:col>
      <xdr:colOff>19049</xdr:colOff>
      <xdr:row>19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CB2F7A8-52EB-8B08-D0D1-D5989B691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19049</xdr:colOff>
      <xdr:row>2</xdr:row>
      <xdr:rowOff>4762</xdr:rowOff>
    </xdr:from>
    <xdr:to>
      <xdr:col>17</xdr:col>
      <xdr:colOff>28574</xdr:colOff>
      <xdr:row>22</xdr:row>
      <xdr:rowOff>171450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0C465E9-7813-FFCA-5D74-E553367802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4762</xdr:rowOff>
    </xdr:from>
    <xdr:to>
      <xdr:col>12</xdr:col>
      <xdr:colOff>314325</xdr:colOff>
      <xdr:row>15</xdr:row>
      <xdr:rowOff>80962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36B8EC6-21E8-3C3B-DA02-394165B84F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2</xdr:row>
      <xdr:rowOff>14286</xdr:rowOff>
    </xdr:from>
    <xdr:to>
      <xdr:col>17</xdr:col>
      <xdr:colOff>190501</xdr:colOff>
      <xdr:row>22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2AF81F6-715F-9025-6C51-3D272EF761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9524</xdr:colOff>
      <xdr:row>1</xdr:row>
      <xdr:rowOff>42860</xdr:rowOff>
    </xdr:from>
    <xdr:to>
      <xdr:col>20</xdr:col>
      <xdr:colOff>752475</xdr:colOff>
      <xdr:row>29</xdr:row>
      <xdr:rowOff>19049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D794F4F-7E15-BC07-D284-4EC4775AA4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6018.401916435185" createdVersion="8" refreshedVersion="8" minRefreshableVersion="3" recordCount="25" xr:uid="{DAB327D2-05FD-431A-91B6-6530CAD1362C}">
  <cacheSource type="worksheet">
    <worksheetSource ref="A1:C26" sheet="Volatilidad"/>
  </cacheSource>
  <cacheFields count="3">
    <cacheField name="Entidad" numFmtId="0">
      <sharedItems count="8">
        <s v="Suzuki"/>
        <s v="Toyota"/>
        <s v="Ford"/>
        <s v="Mazda"/>
        <s v="Kia"/>
        <s v="BMW"/>
        <s v="Chevrolet"/>
        <s v="Hyundai"/>
      </sharedItems>
    </cacheField>
    <cacheField name="Fecha" numFmtId="0">
      <sharedItems count="9">
        <s v="2025-09"/>
        <s v="2025-12"/>
        <s v="2025-06"/>
        <s v="2025-10"/>
        <s v="2025-11"/>
        <s v="2025-07"/>
        <s v="2025-08"/>
        <s v="2024-11"/>
        <s v="2025-05"/>
      </sharedItems>
    </cacheField>
    <cacheField name="Variación" numFmtId="1">
      <sharedItems containsSemiMixedTypes="0" containsString="0" containsNumber="1" minValue="-5.3715967623252387" maxValue="15.9727207465900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x v="0"/>
    <n v="10.90133982947625"/>
  </r>
  <r>
    <x v="0"/>
    <x v="1"/>
    <n v="-5.0444721732527524"/>
  </r>
  <r>
    <x v="1"/>
    <x v="2"/>
    <n v="15.972720746590094"/>
  </r>
  <r>
    <x v="1"/>
    <x v="0"/>
    <n v="3.5107587768969424"/>
  </r>
  <r>
    <x v="1"/>
    <x v="3"/>
    <n v="-0.5293604742924225"/>
  </r>
  <r>
    <x v="1"/>
    <x v="4"/>
    <n v="-1.5810260764322708"/>
  </r>
  <r>
    <x v="1"/>
    <x v="1"/>
    <n v="7.9016977318416011"/>
  </r>
  <r>
    <x v="2"/>
    <x v="5"/>
    <n v="11.957525392428439"/>
  </r>
  <r>
    <x v="2"/>
    <x v="3"/>
    <n v="-3.5876288659793816"/>
  </r>
  <r>
    <x v="2"/>
    <x v="4"/>
    <n v="4.6290916134030597"/>
  </r>
  <r>
    <x v="2"/>
    <x v="1"/>
    <n v="-1.85179947519943"/>
  </r>
  <r>
    <x v="3"/>
    <x v="6"/>
    <n v="-1.4266755142667553"/>
  </r>
  <r>
    <x v="3"/>
    <x v="3"/>
    <n v="9.9654196793461178"/>
  </r>
  <r>
    <x v="3"/>
    <x v="1"/>
    <n v="3.1073879642411617"/>
  </r>
  <r>
    <x v="4"/>
    <x v="4"/>
    <n v="4.5747422680412324"/>
  </r>
  <r>
    <x v="5"/>
    <x v="4"/>
    <n v="4.1737481022807259"/>
  </r>
  <r>
    <x v="5"/>
    <x v="1"/>
    <n v="-3.8953599388963145"/>
  </r>
  <r>
    <x v="6"/>
    <x v="7"/>
    <n v="-5.3715967623252387"/>
  </r>
  <r>
    <x v="6"/>
    <x v="8"/>
    <n v="-1.2313494448590849"/>
  </r>
  <r>
    <x v="6"/>
    <x v="3"/>
    <n v="6.1430793157076202"/>
  </r>
  <r>
    <x v="6"/>
    <x v="4"/>
    <n v="1.8047401609045444"/>
  </r>
  <r>
    <x v="6"/>
    <x v="1"/>
    <n v="-3.3215613484671778"/>
  </r>
  <r>
    <x v="7"/>
    <x v="0"/>
    <n v="0.62761506276150625"/>
  </r>
  <r>
    <x v="7"/>
    <x v="3"/>
    <n v="-1.8298261665141813"/>
  </r>
  <r>
    <x v="7"/>
    <x v="4"/>
    <n v="4.137931034482758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B6A451-3B0E-462C-8A22-13A1E714B737}" name="TablaDinámica13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7">
  <location ref="A3:C28" firstHeaderRow="1" firstDataRow="1" firstDataCol="2"/>
  <pivotFields count="3">
    <pivotField axis="axisRow" compact="0" outline="0" showAll="0" defaultSubtotal="0">
      <items count="8">
        <item x="5"/>
        <item x="6"/>
        <item x="2"/>
        <item x="7"/>
        <item x="4"/>
        <item x="3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7"/>
        <item x="8"/>
        <item x="2"/>
        <item x="5"/>
        <item x="6"/>
        <item x="0"/>
        <item x="3"/>
        <item x="4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0"/>
  </rowFields>
  <rowItems count="25">
    <i>
      <x/>
      <x v="1"/>
    </i>
    <i>
      <x v="1"/>
      <x v="1"/>
    </i>
    <i>
      <x v="2"/>
      <x v="7"/>
    </i>
    <i>
      <x v="3"/>
      <x v="2"/>
    </i>
    <i>
      <x v="4"/>
      <x v="5"/>
    </i>
    <i>
      <x v="5"/>
      <x v="3"/>
    </i>
    <i r="1">
      <x v="6"/>
    </i>
    <i r="1">
      <x v="7"/>
    </i>
    <i>
      <x v="6"/>
      <x v="1"/>
    </i>
    <i r="1">
      <x v="2"/>
    </i>
    <i r="1">
      <x v="3"/>
    </i>
    <i r="1">
      <x v="5"/>
    </i>
    <i r="1">
      <x v="7"/>
    </i>
    <i>
      <x v="7"/>
      <x/>
    </i>
    <i r="1">
      <x v="1"/>
    </i>
    <i r="1">
      <x v="2"/>
    </i>
    <i r="1">
      <x v="3"/>
    </i>
    <i r="1">
      <x v="4"/>
    </i>
    <i r="1">
      <x v="7"/>
    </i>
    <i>
      <x v="8"/>
      <x/>
    </i>
    <i r="1">
      <x v="1"/>
    </i>
    <i r="1">
      <x v="2"/>
    </i>
    <i r="1">
      <x v="5"/>
    </i>
    <i r="1">
      <x v="6"/>
    </i>
    <i r="1">
      <x v="7"/>
    </i>
  </rowItems>
  <colItems count="1">
    <i/>
  </colItems>
  <dataFields count="1">
    <dataField name="Suma de Variación" fld="2" baseField="0" baseItem="0" numFmtId="1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/>
  </sheetViews>
  <sheetFormatPr baseColWidth="10" defaultColWidth="9.140625" defaultRowHeight="15" x14ac:dyDescent="0.25"/>
  <cols>
    <col min="1" max="1" width="30" customWidth="1"/>
    <col min="2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75</v>
      </c>
    </row>
    <row r="3" spans="1:2" x14ac:dyDescent="0.25">
      <c r="A3" t="s">
        <v>3</v>
      </c>
      <c r="B3">
        <v>8</v>
      </c>
    </row>
    <row r="4" spans="1:2" x14ac:dyDescent="0.25">
      <c r="A4" t="s">
        <v>4</v>
      </c>
      <c r="B4">
        <v>29481600</v>
      </c>
    </row>
    <row r="5" spans="1:2" x14ac:dyDescent="0.25">
      <c r="A5" t="s">
        <v>5</v>
      </c>
      <c r="B5">
        <v>26150000</v>
      </c>
    </row>
    <row r="6" spans="1:2" x14ac:dyDescent="0.25">
      <c r="A6" t="s">
        <v>6</v>
      </c>
      <c r="B6">
        <v>9170000</v>
      </c>
    </row>
    <row r="7" spans="1:2" x14ac:dyDescent="0.25">
      <c r="A7" t="s">
        <v>7</v>
      </c>
      <c r="B7">
        <v>69390000</v>
      </c>
    </row>
    <row r="8" spans="1:2" x14ac:dyDescent="0.25">
      <c r="A8" t="s">
        <v>8</v>
      </c>
      <c r="B8">
        <v>16136187.55334595</v>
      </c>
    </row>
    <row r="9" spans="1:2" x14ac:dyDescent="0.25">
      <c r="A9" t="s">
        <v>9</v>
      </c>
      <c r="B9">
        <v>54.733079457512311</v>
      </c>
    </row>
    <row r="10" spans="1:2" x14ac:dyDescent="0.25">
      <c r="A10" t="s">
        <v>10</v>
      </c>
      <c r="B10" t="s">
        <v>26</v>
      </c>
    </row>
    <row r="11" spans="1:2" x14ac:dyDescent="0.25">
      <c r="B11" t="s">
        <v>27</v>
      </c>
    </row>
    <row r="12" spans="1:2" x14ac:dyDescent="0.25">
      <c r="A12" t="s">
        <v>28</v>
      </c>
      <c r="B12" t="s">
        <v>29</v>
      </c>
    </row>
    <row r="13" spans="1:2" x14ac:dyDescent="0.25">
      <c r="A13" t="s">
        <v>30</v>
      </c>
      <c r="B13" t="s">
        <v>29</v>
      </c>
    </row>
    <row r="14" spans="1:2" x14ac:dyDescent="0.25">
      <c r="A14" t="s">
        <v>31</v>
      </c>
      <c r="B14" t="s">
        <v>32</v>
      </c>
    </row>
    <row r="15" spans="1:2" x14ac:dyDescent="0.25">
      <c r="A15" t="s">
        <v>33</v>
      </c>
      <c r="B15" t="s">
        <v>32</v>
      </c>
    </row>
    <row r="16" spans="1:2" x14ac:dyDescent="0.25">
      <c r="A16" t="s">
        <v>34</v>
      </c>
      <c r="B16" t="s">
        <v>35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B1" sqref="B1"/>
    </sheetView>
  </sheetViews>
  <sheetFormatPr baseColWidth="10" defaultColWidth="9.140625" defaultRowHeight="15" x14ac:dyDescent="0.25"/>
  <cols>
    <col min="1" max="1" width="25" customWidth="1"/>
    <col min="2" max="2" width="15" customWidth="1"/>
  </cols>
  <sheetData>
    <row r="1" spans="1:2" x14ac:dyDescent="0.25">
      <c r="A1" t="s">
        <v>11</v>
      </c>
      <c r="B1" t="s">
        <v>12</v>
      </c>
    </row>
    <row r="2" spans="1:2" x14ac:dyDescent="0.25">
      <c r="A2" t="s">
        <v>36</v>
      </c>
      <c r="B2">
        <v>7</v>
      </c>
    </row>
    <row r="3" spans="1:2" x14ac:dyDescent="0.25">
      <c r="A3" t="s">
        <v>14</v>
      </c>
      <c r="B3">
        <v>25</v>
      </c>
    </row>
    <row r="4" spans="1:2" x14ac:dyDescent="0.25">
      <c r="A4" t="s">
        <v>37</v>
      </c>
      <c r="B4">
        <v>10</v>
      </c>
    </row>
    <row r="5" spans="1:2" x14ac:dyDescent="0.25">
      <c r="A5" t="s">
        <v>38</v>
      </c>
      <c r="B5">
        <v>9</v>
      </c>
    </row>
    <row r="6" spans="1:2" x14ac:dyDescent="0.25">
      <c r="A6" t="s">
        <v>39</v>
      </c>
      <c r="B6">
        <v>7</v>
      </c>
    </row>
    <row r="7" spans="1:2" x14ac:dyDescent="0.25">
      <c r="A7" t="s">
        <v>13</v>
      </c>
      <c r="B7">
        <v>10</v>
      </c>
    </row>
    <row r="8" spans="1:2" x14ac:dyDescent="0.25">
      <c r="A8" t="s">
        <v>40</v>
      </c>
      <c r="B8">
        <v>1</v>
      </c>
    </row>
    <row r="9" spans="1:2" x14ac:dyDescent="0.25">
      <c r="A9" t="s">
        <v>41</v>
      </c>
      <c r="B9">
        <v>4</v>
      </c>
    </row>
    <row r="10" spans="1:2" x14ac:dyDescent="0.25">
      <c r="A10" t="s">
        <v>42</v>
      </c>
      <c r="B10">
        <v>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selection activeCell="T17" sqref="T17"/>
    </sheetView>
  </sheetViews>
  <sheetFormatPr baseColWidth="10" defaultColWidth="9.140625" defaultRowHeight="15" x14ac:dyDescent="0.25"/>
  <cols>
    <col min="1" max="1" width="25" customWidth="1"/>
    <col min="2" max="4" width="15" style="2" customWidth="1"/>
  </cols>
  <sheetData>
    <row r="1" spans="1:4" x14ac:dyDescent="0.25">
      <c r="A1" t="s">
        <v>11</v>
      </c>
      <c r="B1" s="2" t="s">
        <v>15</v>
      </c>
      <c r="C1" s="2" t="s">
        <v>16</v>
      </c>
      <c r="D1" s="2" t="s">
        <v>17</v>
      </c>
    </row>
    <row r="2" spans="1:4" x14ac:dyDescent="0.25">
      <c r="A2" t="s">
        <v>36</v>
      </c>
      <c r="B2" s="2">
        <v>51108571.428571425</v>
      </c>
      <c r="C2" s="2">
        <v>43810000</v>
      </c>
      <c r="D2" s="2">
        <v>65790000</v>
      </c>
    </row>
    <row r="3" spans="1:4" x14ac:dyDescent="0.25">
      <c r="A3" t="s">
        <v>14</v>
      </c>
      <c r="B3" s="2">
        <v>26838800</v>
      </c>
      <c r="C3" s="2">
        <v>16420000</v>
      </c>
      <c r="D3" s="2">
        <v>48500000</v>
      </c>
    </row>
    <row r="4" spans="1:4" x14ac:dyDescent="0.25">
      <c r="A4" t="s">
        <v>37</v>
      </c>
      <c r="B4" s="2">
        <v>29411000</v>
      </c>
      <c r="C4" s="2">
        <v>17870000</v>
      </c>
      <c r="D4" s="2">
        <v>52370000</v>
      </c>
    </row>
    <row r="5" spans="1:4" x14ac:dyDescent="0.25">
      <c r="A5" t="s">
        <v>38</v>
      </c>
      <c r="B5" s="2">
        <v>10705555.555555556</v>
      </c>
      <c r="C5" s="2">
        <v>9170000</v>
      </c>
      <c r="D5" s="2">
        <v>11470000</v>
      </c>
    </row>
    <row r="6" spans="1:4" x14ac:dyDescent="0.25">
      <c r="A6" t="s">
        <v>39</v>
      </c>
      <c r="B6" s="2">
        <v>12814285.714285715</v>
      </c>
      <c r="C6" s="2">
        <v>11800000</v>
      </c>
      <c r="D6" s="2">
        <v>13650000</v>
      </c>
    </row>
    <row r="7" spans="1:4" x14ac:dyDescent="0.25">
      <c r="A7" t="s">
        <v>13</v>
      </c>
      <c r="B7" s="2">
        <v>41576000</v>
      </c>
      <c r="C7" s="2">
        <v>27860000</v>
      </c>
      <c r="D7" s="2">
        <v>54310000</v>
      </c>
    </row>
    <row r="8" spans="1:4" x14ac:dyDescent="0.25">
      <c r="A8" t="s">
        <v>40</v>
      </c>
      <c r="B8" s="2">
        <v>55560000</v>
      </c>
      <c r="C8" s="2">
        <v>55560000</v>
      </c>
      <c r="D8" s="2">
        <v>55560000</v>
      </c>
    </row>
    <row r="9" spans="1:4" x14ac:dyDescent="0.25">
      <c r="A9" t="s">
        <v>41</v>
      </c>
      <c r="B9" s="2">
        <v>50355000</v>
      </c>
      <c r="C9" s="2">
        <v>31810000</v>
      </c>
      <c r="D9" s="2">
        <v>69390000</v>
      </c>
    </row>
    <row r="10" spans="1:4" x14ac:dyDescent="0.25">
      <c r="A10" t="s">
        <v>42</v>
      </c>
      <c r="B10" s="2">
        <v>14745000</v>
      </c>
      <c r="C10" s="2">
        <v>14440000</v>
      </c>
      <c r="D10" s="2">
        <v>15050000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>
      <selection activeCell="I22" sqref="I22"/>
    </sheetView>
  </sheetViews>
  <sheetFormatPr baseColWidth="10" defaultColWidth="9.140625" defaultRowHeight="15" x14ac:dyDescent="0.25"/>
  <cols>
    <col min="1" max="1" width="20" customWidth="1"/>
    <col min="2" max="2" width="15" style="2" customWidth="1"/>
  </cols>
  <sheetData>
    <row r="1" spans="1:2" x14ac:dyDescent="0.25">
      <c r="A1" t="s">
        <v>18</v>
      </c>
      <c r="B1" s="2" t="s">
        <v>4</v>
      </c>
    </row>
    <row r="2" spans="1:2" x14ac:dyDescent="0.25">
      <c r="A2" t="s">
        <v>43</v>
      </c>
      <c r="B2" s="2">
        <v>48512500</v>
      </c>
    </row>
    <row r="3" spans="1:2" x14ac:dyDescent="0.25">
      <c r="A3" t="s">
        <v>44</v>
      </c>
      <c r="B3" s="2">
        <v>13630000</v>
      </c>
    </row>
    <row r="4" spans="1:2" x14ac:dyDescent="0.25">
      <c r="A4" t="s">
        <v>45</v>
      </c>
      <c r="B4" s="2">
        <v>26989333.333333332</v>
      </c>
    </row>
    <row r="5" spans="1:2" x14ac:dyDescent="0.25">
      <c r="A5" t="s">
        <v>19</v>
      </c>
      <c r="B5" s="2">
        <v>28106470.588235293</v>
      </c>
    </row>
    <row r="6" spans="1:2" x14ac:dyDescent="0.25">
      <c r="A6" t="s">
        <v>46</v>
      </c>
      <c r="B6" s="2">
        <v>57373333.333333336</v>
      </c>
    </row>
    <row r="7" spans="1:2" x14ac:dyDescent="0.25">
      <c r="A7" t="s">
        <v>47</v>
      </c>
      <c r="B7" s="2">
        <v>27348888.888888888</v>
      </c>
    </row>
    <row r="8" spans="1:2" x14ac:dyDescent="0.25">
      <c r="A8" t="s">
        <v>48</v>
      </c>
      <c r="B8" s="2">
        <v>18588571.428571429</v>
      </c>
    </row>
    <row r="9" spans="1:2" x14ac:dyDescent="0.25">
      <c r="A9" t="s">
        <v>49</v>
      </c>
      <c r="B9" s="2">
        <v>20743333.333333332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6"/>
  <sheetViews>
    <sheetView workbookViewId="0">
      <selection activeCell="K30" sqref="K30"/>
    </sheetView>
  </sheetViews>
  <sheetFormatPr baseColWidth="10" defaultColWidth="9.140625" defaultRowHeight="15" x14ac:dyDescent="0.25"/>
  <cols>
    <col min="1" max="1" width="25" customWidth="1"/>
    <col min="2" max="2" width="15" style="2" customWidth="1"/>
    <col min="3" max="3" width="10" customWidth="1"/>
  </cols>
  <sheetData>
    <row r="1" spans="1:3" x14ac:dyDescent="0.25">
      <c r="A1" t="s">
        <v>20</v>
      </c>
      <c r="B1" s="2" t="s">
        <v>21</v>
      </c>
      <c r="C1" t="s">
        <v>22</v>
      </c>
    </row>
    <row r="2" spans="1:3" x14ac:dyDescent="0.25">
      <c r="A2" t="s">
        <v>50</v>
      </c>
      <c r="B2" s="2">
        <v>44780000</v>
      </c>
      <c r="C2">
        <v>2</v>
      </c>
    </row>
    <row r="3" spans="1:3" x14ac:dyDescent="0.25">
      <c r="A3" t="s">
        <v>51</v>
      </c>
      <c r="B3" s="2">
        <v>17170000</v>
      </c>
      <c r="C3">
        <v>3</v>
      </c>
    </row>
    <row r="4" spans="1:3" x14ac:dyDescent="0.25">
      <c r="A4" t="s">
        <v>52</v>
      </c>
      <c r="B4" s="2">
        <v>18246666.666666668</v>
      </c>
      <c r="C4">
        <v>3</v>
      </c>
    </row>
    <row r="5" spans="1:3" x14ac:dyDescent="0.25">
      <c r="A5" t="s">
        <v>53</v>
      </c>
      <c r="B5" s="2">
        <v>19287500</v>
      </c>
      <c r="C5">
        <v>4</v>
      </c>
    </row>
    <row r="6" spans="1:3" x14ac:dyDescent="0.25">
      <c r="A6" t="s">
        <v>54</v>
      </c>
      <c r="B6" s="2">
        <v>10975000</v>
      </c>
      <c r="C6">
        <v>4</v>
      </c>
    </row>
    <row r="7" spans="1:3" x14ac:dyDescent="0.25">
      <c r="A7" t="s">
        <v>55</v>
      </c>
      <c r="B7" s="2">
        <v>12400000</v>
      </c>
      <c r="C7">
        <v>3</v>
      </c>
    </row>
    <row r="8" spans="1:3" x14ac:dyDescent="0.25">
      <c r="A8" t="s">
        <v>56</v>
      </c>
      <c r="B8" s="2">
        <v>51350000</v>
      </c>
      <c r="C8">
        <v>3</v>
      </c>
    </row>
    <row r="9" spans="1:3" x14ac:dyDescent="0.25">
      <c r="A9" t="s">
        <v>57</v>
      </c>
      <c r="B9" s="2">
        <v>29110000</v>
      </c>
      <c r="C9">
        <v>4</v>
      </c>
    </row>
    <row r="10" spans="1:3" x14ac:dyDescent="0.25">
      <c r="A10" t="s">
        <v>58</v>
      </c>
      <c r="B10" s="2">
        <v>26892500</v>
      </c>
      <c r="C10">
        <v>4</v>
      </c>
    </row>
    <row r="11" spans="1:3" x14ac:dyDescent="0.25">
      <c r="A11" t="s">
        <v>59</v>
      </c>
      <c r="B11" s="2">
        <v>43343333.333333336</v>
      </c>
      <c r="C11">
        <v>3</v>
      </c>
    </row>
    <row r="12" spans="1:3" x14ac:dyDescent="0.25">
      <c r="A12" t="s">
        <v>60</v>
      </c>
      <c r="B12" s="2">
        <v>55560000</v>
      </c>
      <c r="C12">
        <v>1</v>
      </c>
    </row>
    <row r="13" spans="1:3" x14ac:dyDescent="0.25">
      <c r="A13" t="s">
        <v>61</v>
      </c>
      <c r="B13" s="2">
        <v>20970000</v>
      </c>
      <c r="C13">
        <v>3</v>
      </c>
    </row>
    <row r="14" spans="1:3" x14ac:dyDescent="0.25">
      <c r="A14" t="s">
        <v>62</v>
      </c>
      <c r="B14" s="2">
        <v>53320000</v>
      </c>
      <c r="C14">
        <v>3</v>
      </c>
    </row>
    <row r="15" spans="1:3" x14ac:dyDescent="0.25">
      <c r="A15" t="s">
        <v>63</v>
      </c>
      <c r="B15" s="2">
        <v>13125000</v>
      </c>
      <c r="C15">
        <v>4</v>
      </c>
    </row>
    <row r="16" spans="1:3" x14ac:dyDescent="0.25">
      <c r="A16" t="s">
        <v>64</v>
      </c>
      <c r="B16" s="2">
        <v>46026666.666666664</v>
      </c>
      <c r="C16">
        <v>3</v>
      </c>
    </row>
    <row r="17" spans="1:3" x14ac:dyDescent="0.25">
      <c r="A17" t="s">
        <v>65</v>
      </c>
      <c r="B17" s="2">
        <v>10880000</v>
      </c>
      <c r="C17">
        <v>3</v>
      </c>
    </row>
    <row r="18" spans="1:3" x14ac:dyDescent="0.25">
      <c r="A18" t="s">
        <v>66</v>
      </c>
      <c r="B18" s="2">
        <v>24370000</v>
      </c>
      <c r="C18">
        <v>4</v>
      </c>
    </row>
    <row r="19" spans="1:3" x14ac:dyDescent="0.25">
      <c r="A19" t="s">
        <v>67</v>
      </c>
      <c r="B19" s="2">
        <v>9905000</v>
      </c>
      <c r="C19">
        <v>2</v>
      </c>
    </row>
    <row r="20" spans="1:3" x14ac:dyDescent="0.25">
      <c r="A20" t="s">
        <v>68</v>
      </c>
      <c r="B20" s="2">
        <v>67315000</v>
      </c>
      <c r="C20">
        <v>2</v>
      </c>
    </row>
    <row r="21" spans="1:3" x14ac:dyDescent="0.25">
      <c r="A21" t="s">
        <v>69</v>
      </c>
      <c r="B21" s="2">
        <v>31442500</v>
      </c>
      <c r="C21">
        <v>4</v>
      </c>
    </row>
    <row r="22" spans="1:3" x14ac:dyDescent="0.25">
      <c r="A22" t="s">
        <v>70</v>
      </c>
      <c r="B22" s="2">
        <v>26162500</v>
      </c>
      <c r="C22">
        <v>4</v>
      </c>
    </row>
    <row r="23" spans="1:3" x14ac:dyDescent="0.25">
      <c r="A23" t="s">
        <v>71</v>
      </c>
      <c r="B23" s="2">
        <v>65060000</v>
      </c>
      <c r="C23">
        <v>2</v>
      </c>
    </row>
    <row r="24" spans="1:3" x14ac:dyDescent="0.25">
      <c r="A24" t="s">
        <v>72</v>
      </c>
      <c r="B24" s="2">
        <v>46193333.333333336</v>
      </c>
      <c r="C24">
        <v>3</v>
      </c>
    </row>
    <row r="25" spans="1:3" x14ac:dyDescent="0.25">
      <c r="A25" t="s">
        <v>73</v>
      </c>
      <c r="B25" s="2">
        <v>33395000</v>
      </c>
      <c r="C25">
        <v>2</v>
      </c>
    </row>
    <row r="26" spans="1:3" x14ac:dyDescent="0.25">
      <c r="A26" t="s">
        <v>74</v>
      </c>
      <c r="B26" s="2">
        <v>14745000</v>
      </c>
      <c r="C26">
        <v>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3E53E-7997-4BF1-AF5B-AE7E79E99135}">
  <dimension ref="A3:C28"/>
  <sheetViews>
    <sheetView workbookViewId="0">
      <selection activeCell="C31" sqref="C31"/>
    </sheetView>
  </sheetViews>
  <sheetFormatPr baseColWidth="10" defaultRowHeight="15" x14ac:dyDescent="0.25"/>
  <cols>
    <col min="1" max="1" width="8.42578125" bestFit="1" customWidth="1"/>
    <col min="2" max="2" width="10" bestFit="1" customWidth="1"/>
    <col min="3" max="3" width="17.42578125" bestFit="1" customWidth="1"/>
    <col min="4" max="10" width="7.7109375" bestFit="1" customWidth="1"/>
  </cols>
  <sheetData>
    <row r="3" spans="1:3" x14ac:dyDescent="0.25">
      <c r="A3" s="3" t="s">
        <v>24</v>
      </c>
      <c r="B3" s="3" t="s">
        <v>23</v>
      </c>
      <c r="C3" t="s">
        <v>83</v>
      </c>
    </row>
    <row r="4" spans="1:3" x14ac:dyDescent="0.25">
      <c r="A4" t="s">
        <v>81</v>
      </c>
      <c r="B4" t="s">
        <v>45</v>
      </c>
      <c r="C4" s="1">
        <v>-5.3715967623252387</v>
      </c>
    </row>
    <row r="5" spans="1:3" x14ac:dyDescent="0.25">
      <c r="A5" t="s">
        <v>82</v>
      </c>
      <c r="B5" t="s">
        <v>45</v>
      </c>
      <c r="C5" s="1">
        <v>-1.2313494448590849</v>
      </c>
    </row>
    <row r="6" spans="1:3" x14ac:dyDescent="0.25">
      <c r="A6" t="s">
        <v>77</v>
      </c>
      <c r="B6" t="s">
        <v>19</v>
      </c>
      <c r="C6" s="1">
        <v>15.972720746590094</v>
      </c>
    </row>
    <row r="7" spans="1:3" x14ac:dyDescent="0.25">
      <c r="A7" t="s">
        <v>79</v>
      </c>
      <c r="B7" t="s">
        <v>43</v>
      </c>
      <c r="C7" s="1">
        <v>11.957525392428439</v>
      </c>
    </row>
    <row r="8" spans="1:3" x14ac:dyDescent="0.25">
      <c r="A8" t="s">
        <v>80</v>
      </c>
      <c r="B8" t="s">
        <v>47</v>
      </c>
      <c r="C8" s="1">
        <v>-1.4266755142667553</v>
      </c>
    </row>
    <row r="9" spans="1:3" x14ac:dyDescent="0.25">
      <c r="A9" t="s">
        <v>75</v>
      </c>
      <c r="B9" t="s">
        <v>48</v>
      </c>
      <c r="C9" s="1">
        <v>0.62761506276150625</v>
      </c>
    </row>
    <row r="10" spans="1:3" x14ac:dyDescent="0.25">
      <c r="A10" t="s">
        <v>75</v>
      </c>
      <c r="B10" t="s">
        <v>44</v>
      </c>
      <c r="C10" s="1">
        <v>10.90133982947625</v>
      </c>
    </row>
    <row r="11" spans="1:3" x14ac:dyDescent="0.25">
      <c r="A11" t="s">
        <v>75</v>
      </c>
      <c r="B11" t="s">
        <v>19</v>
      </c>
      <c r="C11" s="1">
        <v>3.5107587768969424</v>
      </c>
    </row>
    <row r="12" spans="1:3" x14ac:dyDescent="0.25">
      <c r="A12" t="s">
        <v>25</v>
      </c>
      <c r="B12" t="s">
        <v>45</v>
      </c>
      <c r="C12" s="1">
        <v>6.1430793157076202</v>
      </c>
    </row>
    <row r="13" spans="1:3" x14ac:dyDescent="0.25">
      <c r="A13" t="s">
        <v>25</v>
      </c>
      <c r="B13" t="s">
        <v>43</v>
      </c>
      <c r="C13" s="1">
        <v>-3.5876288659793816</v>
      </c>
    </row>
    <row r="14" spans="1:3" x14ac:dyDescent="0.25">
      <c r="A14" t="s">
        <v>25</v>
      </c>
      <c r="B14" t="s">
        <v>48</v>
      </c>
      <c r="C14" s="1">
        <v>-1.8298261665141813</v>
      </c>
    </row>
    <row r="15" spans="1:3" x14ac:dyDescent="0.25">
      <c r="A15" t="s">
        <v>25</v>
      </c>
      <c r="B15" t="s">
        <v>47</v>
      </c>
      <c r="C15" s="1">
        <v>9.9654196793461178</v>
      </c>
    </row>
    <row r="16" spans="1:3" x14ac:dyDescent="0.25">
      <c r="A16" t="s">
        <v>25</v>
      </c>
      <c r="B16" t="s">
        <v>19</v>
      </c>
      <c r="C16" s="1">
        <v>-0.5293604742924225</v>
      </c>
    </row>
    <row r="17" spans="1:3" x14ac:dyDescent="0.25">
      <c r="A17" t="s">
        <v>78</v>
      </c>
      <c r="B17" t="s">
        <v>46</v>
      </c>
      <c r="C17" s="1">
        <v>4.1737481022807259</v>
      </c>
    </row>
    <row r="18" spans="1:3" x14ac:dyDescent="0.25">
      <c r="A18" t="s">
        <v>78</v>
      </c>
      <c r="B18" t="s">
        <v>45</v>
      </c>
      <c r="C18" s="1">
        <v>1.8047401609045444</v>
      </c>
    </row>
    <row r="19" spans="1:3" x14ac:dyDescent="0.25">
      <c r="A19" t="s">
        <v>78</v>
      </c>
      <c r="B19" t="s">
        <v>43</v>
      </c>
      <c r="C19" s="1">
        <v>4.6290916134030597</v>
      </c>
    </row>
    <row r="20" spans="1:3" x14ac:dyDescent="0.25">
      <c r="A20" t="s">
        <v>78</v>
      </c>
      <c r="B20" t="s">
        <v>48</v>
      </c>
      <c r="C20" s="1">
        <v>4.1379310344827589</v>
      </c>
    </row>
    <row r="21" spans="1:3" x14ac:dyDescent="0.25">
      <c r="A21" t="s">
        <v>78</v>
      </c>
      <c r="B21" t="s">
        <v>49</v>
      </c>
      <c r="C21" s="1">
        <v>4.5747422680412324</v>
      </c>
    </row>
    <row r="22" spans="1:3" x14ac:dyDescent="0.25">
      <c r="A22" t="s">
        <v>78</v>
      </c>
      <c r="B22" t="s">
        <v>19</v>
      </c>
      <c r="C22" s="1">
        <v>-1.5810260764322708</v>
      </c>
    </row>
    <row r="23" spans="1:3" x14ac:dyDescent="0.25">
      <c r="A23" t="s">
        <v>76</v>
      </c>
      <c r="B23" t="s">
        <v>46</v>
      </c>
      <c r="C23" s="1">
        <v>-3.8953599388963145</v>
      </c>
    </row>
    <row r="24" spans="1:3" x14ac:dyDescent="0.25">
      <c r="A24" t="s">
        <v>76</v>
      </c>
      <c r="B24" t="s">
        <v>45</v>
      </c>
      <c r="C24" s="1">
        <v>-3.3215613484671778</v>
      </c>
    </row>
    <row r="25" spans="1:3" x14ac:dyDescent="0.25">
      <c r="A25" t="s">
        <v>76</v>
      </c>
      <c r="B25" t="s">
        <v>43</v>
      </c>
      <c r="C25" s="1">
        <v>-1.85179947519943</v>
      </c>
    </row>
    <row r="26" spans="1:3" x14ac:dyDescent="0.25">
      <c r="A26" t="s">
        <v>76</v>
      </c>
      <c r="B26" t="s">
        <v>47</v>
      </c>
      <c r="C26" s="1">
        <v>3.1073879642411617</v>
      </c>
    </row>
    <row r="27" spans="1:3" x14ac:dyDescent="0.25">
      <c r="A27" t="s">
        <v>76</v>
      </c>
      <c r="B27" t="s">
        <v>44</v>
      </c>
      <c r="C27" s="1">
        <v>-5.0444721732527524</v>
      </c>
    </row>
    <row r="28" spans="1:3" x14ac:dyDescent="0.25">
      <c r="A28" t="s">
        <v>76</v>
      </c>
      <c r="B28" t="s">
        <v>19</v>
      </c>
      <c r="C28" s="1">
        <v>7.9016977318416011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 Ejecutivo</vt:lpstr>
      <vt:lpstr>Inventario</vt:lpstr>
      <vt:lpstr>Precios por Categoría</vt:lpstr>
      <vt:lpstr>Benchmarking</vt:lpstr>
      <vt:lpstr>Posicionamiento</vt:lpstr>
      <vt:lpstr>Volatilidad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2025-12-25T14:04:53Z</dcterms:created>
  <dcterms:modified xsi:type="dcterms:W3CDTF">2026-01-01T14:03:20Z</dcterms:modified>
  <cp:category/>
</cp:coreProperties>
</file>